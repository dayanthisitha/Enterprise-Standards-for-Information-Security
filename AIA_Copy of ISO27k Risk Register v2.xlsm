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nusha\Desktop\esis asss\"/>
    </mc:Choice>
  </mc:AlternateContent>
  <bookViews>
    <workbookView xWindow="0" yWindow="0" windowWidth="17256" windowHeight="5196"/>
  </bookViews>
  <sheets>
    <sheet name="Risk register" sheetId="8" r:id="rId1"/>
  </sheets>
  <calcPr calcId="162913"/>
</workbook>
</file>

<file path=xl/calcChain.xml><?xml version="1.0" encoding="utf-8"?>
<calcChain xmlns="http://schemas.openxmlformats.org/spreadsheetml/2006/main">
  <c r="M4" i="8" l="1"/>
  <c r="L4" i="8"/>
  <c r="M3" i="8"/>
  <c r="L3" i="8"/>
  <c r="M5" i="8"/>
  <c r="M6" i="8"/>
  <c r="M7" i="8"/>
  <c r="M8" i="8"/>
  <c r="M9" i="8"/>
  <c r="M10" i="8"/>
  <c r="M11" i="8"/>
  <c r="M12" i="8"/>
  <c r="M13" i="8"/>
  <c r="M14" i="8"/>
  <c r="M15" i="8"/>
  <c r="N15" i="8" s="1"/>
  <c r="M16" i="8"/>
  <c r="M17" i="8"/>
  <c r="M18" i="8"/>
  <c r="M19" i="8"/>
  <c r="M20" i="8"/>
  <c r="M21" i="8"/>
  <c r="M22" i="8"/>
  <c r="M23" i="8"/>
  <c r="M24" i="8"/>
  <c r="M25" i="8"/>
  <c r="L5" i="8"/>
  <c r="L6" i="8"/>
  <c r="L7" i="8"/>
  <c r="L8" i="8"/>
  <c r="L9" i="8"/>
  <c r="L10" i="8"/>
  <c r="L11" i="8"/>
  <c r="N11" i="8" s="1"/>
  <c r="L12" i="8"/>
  <c r="L13" i="8"/>
  <c r="L14" i="8"/>
  <c r="L15" i="8"/>
  <c r="L16" i="8"/>
  <c r="L17" i="8"/>
  <c r="N17" i="8" s="1"/>
  <c r="L18" i="8"/>
  <c r="L19" i="8"/>
  <c r="N19" i="8" s="1"/>
  <c r="L20" i="8"/>
  <c r="L21" i="8"/>
  <c r="N21" i="8" s="1"/>
  <c r="L22" i="8"/>
  <c r="L23" i="8"/>
  <c r="L24" i="8"/>
  <c r="L25" i="8"/>
  <c r="N25" i="8" s="1"/>
  <c r="H25" i="8"/>
  <c r="H24" i="8"/>
  <c r="H23" i="8"/>
  <c r="N22" i="8"/>
  <c r="H22" i="8"/>
  <c r="H21" i="8"/>
  <c r="H20" i="8"/>
  <c r="H19" i="8"/>
  <c r="H18" i="8"/>
  <c r="H17" i="8"/>
  <c r="H16" i="8"/>
  <c r="H15" i="8"/>
  <c r="H14" i="8"/>
  <c r="N13" i="8"/>
  <c r="H13" i="8"/>
  <c r="H12" i="8"/>
  <c r="H11" i="8"/>
  <c r="H10" i="8"/>
  <c r="N9" i="8"/>
  <c r="H9" i="8"/>
  <c r="H8" i="8"/>
  <c r="N7" i="8"/>
  <c r="H7" i="8"/>
  <c r="H6" i="8"/>
  <c r="H5" i="8"/>
  <c r="H4" i="8"/>
  <c r="H3" i="8"/>
  <c r="N5" i="8" l="1"/>
  <c r="O5" i="8" s="1"/>
  <c r="N24" i="8"/>
  <c r="O24" i="8" s="1"/>
  <c r="N23" i="8"/>
  <c r="O7" i="8"/>
  <c r="N10" i="8"/>
  <c r="N8" i="8"/>
  <c r="N6" i="8"/>
  <c r="O6" i="8" s="1"/>
  <c r="N3" i="8"/>
  <c r="O3" i="8" s="1"/>
  <c r="N4" i="8"/>
  <c r="O4" i="8" s="1"/>
  <c r="O22" i="8"/>
  <c r="O8" i="8"/>
  <c r="O10" i="8"/>
  <c r="O11" i="8"/>
  <c r="O9" i="8"/>
  <c r="N12" i="8"/>
  <c r="O12" i="8" s="1"/>
  <c r="N14" i="8"/>
  <c r="O14" i="8" s="1"/>
  <c r="N16" i="8"/>
  <c r="O16" i="8" s="1"/>
  <c r="N18" i="8"/>
  <c r="O18" i="8" s="1"/>
  <c r="N20" i="8"/>
  <c r="O20" i="8" s="1"/>
  <c r="O13" i="8"/>
  <c r="O15" i="8"/>
  <c r="O17" i="8"/>
  <c r="O19" i="8"/>
  <c r="O21" i="8"/>
  <c r="O23" i="8"/>
  <c r="O25" i="8"/>
</calcChain>
</file>

<file path=xl/comments1.xml><?xml version="1.0" encoding="utf-8"?>
<comments xmlns="http://schemas.openxmlformats.org/spreadsheetml/2006/main">
  <authors>
    <author>Shaun Woodcock</author>
    <author>SWoodcock</author>
    <author>Gary Hinson</author>
  </authors>
  <commentList>
    <comment ref="B2" authorId="0" shapeId="0">
      <text>
        <r>
          <rPr>
            <b/>
            <sz val="8"/>
            <color indexed="81"/>
            <rFont val="Tahoma"/>
          </rPr>
          <t>Assign a unique identifier for each risk.  Any duplicates will go red.</t>
        </r>
      </text>
    </comment>
    <comment ref="C2" authorId="0" shapeId="0">
      <text>
        <r>
          <rPr>
            <b/>
            <sz val="8"/>
            <color indexed="81"/>
            <rFont val="Tahoma"/>
            <family val="2"/>
          </rPr>
          <t>Briefly describe the risk</t>
        </r>
      </text>
    </comment>
    <comment ref="D2" authorId="1" shapeId="0">
      <text>
        <r>
          <rPr>
            <b/>
            <sz val="8"/>
            <color indexed="81"/>
            <rFont val="Tahoma"/>
            <family val="2"/>
          </rPr>
          <t>Enter the name of the information asset owner, the person who will be held to account if the asset is adversely impacted by an incident of some sort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 xml:space="preserve">Describe (in business terms) what impact the risk would have on the organization if it occurred. </t>
        </r>
      </text>
    </comment>
    <comment ref="F2" authorId="0" shapeId="0">
      <text>
        <r>
          <rPr>
            <b/>
            <sz val="8"/>
            <color indexed="81"/>
            <rFont val="Tahoma"/>
          </rPr>
          <t>What is the probability of this risk occurring, if there were no risk treatments in place?  
Enter a percentage value where 0% = impossible and 100% = certain.</t>
        </r>
      </text>
    </comment>
    <comment ref="G2" authorId="0" shapeId="0">
      <text>
        <r>
          <rPr>
            <b/>
            <sz val="8"/>
            <color indexed="81"/>
            <rFont val="Tahoma"/>
          </rPr>
          <t>How serious would it be if this risk occurred, assuming there were no risk treatments in place?   Enter a percentage value where 0% = no impact at all, and 100% = total disaster.</t>
        </r>
      </text>
    </comment>
    <comment ref="H2" authorId="1" shapeId="0">
      <text>
        <r>
          <rPr>
            <b/>
            <sz val="8"/>
            <color indexed="81"/>
            <rFont val="Tahoma"/>
            <family val="2"/>
          </rPr>
          <t>The risk ratings and colors are calculated automatically from the product of the raw probabilities and impacts.  DO NOT EDIT
 THIS COLUMN!</t>
        </r>
      </text>
    </comment>
    <comment ref="I2" authorId="0" shapeId="0">
      <text>
        <r>
          <rPr>
            <b/>
            <sz val="8"/>
            <color indexed="81"/>
            <rFont val="Tahoma"/>
            <family val="2"/>
          </rPr>
          <t>Describe how the risk is to be treated: remember, it can be controlled, transferred, avoided or accepted.</t>
        </r>
        <r>
          <rPr>
            <sz val="8"/>
            <color indexed="81"/>
            <rFont val="Tahoma"/>
          </rPr>
          <t xml:space="preserve">
</t>
        </r>
      </text>
    </comment>
    <comment ref="J2" authorId="1" shapeId="0">
      <text>
        <r>
          <rPr>
            <b/>
            <sz val="8"/>
            <color indexed="81"/>
            <rFont val="Tahoma"/>
            <family val="2"/>
          </rPr>
          <t xml:space="preserve">How much will it cost to implement the treatment?
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100% means the treatment is fully in place and operational.  0% means nothing has been done yet to mitigate the risk.</t>
        </r>
      </text>
    </comment>
    <comment ref="L2" authorId="0" shapeId="0">
      <text>
        <r>
          <rPr>
            <b/>
            <sz val="8"/>
            <color indexed="81"/>
            <rFont val="Tahoma"/>
          </rPr>
          <t>What is the probability of this risk occurring, once the risk is fully treated?  Enter a percentage value where 0% = impossible and 100% = certain.  If the treated values differ from the raw values, they go bold.</t>
        </r>
      </text>
    </comment>
    <comment ref="M2" authorId="0" shapeId="0">
      <text>
        <r>
          <rPr>
            <b/>
            <sz val="8"/>
            <color indexed="81"/>
            <rFont val="Tahoma"/>
          </rPr>
          <t>How serious would it be if this risk occurred, assuming the risk is fully treated?   Enter a percentage value where 0% = no impact at all, and 100% = total disaster.  If the treated values differ from the raw values, they go bold.</t>
        </r>
      </text>
    </comment>
    <comment ref="N2" authorId="1" shapeId="0">
      <text>
        <r>
          <rPr>
            <b/>
            <sz val="8"/>
            <color indexed="81"/>
            <rFont val="Tahoma"/>
            <family val="2"/>
          </rPr>
          <t>The risk ratings and colors are calculated automatically from the product of the raw probabilities and impacts.  DO NOT EDIT
 THIS COLUMN!</t>
        </r>
      </text>
    </comment>
    <comment ref="O2" authorId="2" shapeId="0">
      <text>
        <r>
          <rPr>
            <b/>
            <sz val="9"/>
            <color indexed="81"/>
            <rFont val="Tahoma"/>
            <family val="2"/>
          </rPr>
          <t>The risk ratings and colors are calculated automatically from the product of the raw probabilities and impacts.  DO NOT EDIT
 THIS COLUMN!</t>
        </r>
      </text>
    </comment>
    <comment ref="Q2" authorId="0" shapeId="0">
      <text>
        <r>
          <rPr>
            <b/>
            <sz val="8"/>
            <color indexed="81"/>
            <rFont val="Tahoma"/>
          </rPr>
          <t>When was the risk and/or treatment last reviewed?  Enter a date.</t>
        </r>
      </text>
    </comment>
  </commentList>
</comments>
</file>

<file path=xl/sharedStrings.xml><?xml version="1.0" encoding="utf-8"?>
<sst xmlns="http://schemas.openxmlformats.org/spreadsheetml/2006/main" count="34" uniqueCount="33">
  <si>
    <t>Impact</t>
  </si>
  <si>
    <t>Notes</t>
  </si>
  <si>
    <t xml:space="preserve">    Raw probability</t>
  </si>
  <si>
    <t xml:space="preserve">    Raw impact</t>
  </si>
  <si>
    <t xml:space="preserve">    Raw risk rating</t>
  </si>
  <si>
    <t xml:space="preserve">    Treated probability</t>
  </si>
  <si>
    <t xml:space="preserve">    Treated impact</t>
  </si>
  <si>
    <t xml:space="preserve">    Asset owner</t>
  </si>
  <si>
    <t xml:space="preserve">    Treatment cost</t>
  </si>
  <si>
    <t xml:space="preserve">    Treatment status</t>
  </si>
  <si>
    <t xml:space="preserve">    Risk ID
</t>
  </si>
  <si>
    <t xml:space="preserve">    Current risk rating</t>
  </si>
  <si>
    <t>Risk</t>
  </si>
  <si>
    <t>Treatment</t>
  </si>
  <si>
    <t xml:space="preserve">Last update
</t>
  </si>
  <si>
    <t xml:space="preserve">    Target risk rating</t>
  </si>
  <si>
    <t>0001</t>
  </si>
  <si>
    <t>0002</t>
  </si>
  <si>
    <t>0003</t>
  </si>
  <si>
    <t>Ransomeware</t>
  </si>
  <si>
    <t>Phishing</t>
  </si>
  <si>
    <t>Injection</t>
  </si>
  <si>
    <t>Every employee</t>
  </si>
  <si>
    <t>Server Management team</t>
  </si>
  <si>
    <t>Reputation loss, Data loss, Misuse of data, Data breach, Financial loss</t>
  </si>
  <si>
    <t xml:space="preserve">Unauthorized access, Data breach </t>
  </si>
  <si>
    <t>System takeover, Data breach, Unauthorized access</t>
  </si>
  <si>
    <t>Regular updating of systems, creating backups and by ensuring well known security measures , Encrypting of data</t>
  </si>
  <si>
    <t xml:space="preserve">SPAM filtering, Web filtering, Conducting employee trainings, Good antivirus, Text only emails </t>
  </si>
  <si>
    <t>Stored procedures, White List Input Validation, Escaping All User-Supplied Input, Parameterization</t>
  </si>
  <si>
    <t>100000$</t>
  </si>
  <si>
    <t>6000$</t>
  </si>
  <si>
    <t>7000$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</si>
</sst>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;[Red]\-&quot;$&quot;#,##0"/>
  </numFmts>
  <fonts count="13" x14ac:knownFonts="1">
    <font>
      <sz val="11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color indexed="81"/>
      <name val="Tahoma"/>
    </font>
    <font>
      <b/>
      <sz val="8"/>
      <color indexed="81"/>
      <name val="Tahoma"/>
      <family val="2"/>
    </font>
    <font>
      <sz val="8"/>
      <color indexed="81"/>
      <name val="Tahoma"/>
    </font>
    <font>
      <u/>
      <sz val="8"/>
      <color indexed="12"/>
      <name val="Arial Narrow"/>
      <family val="2"/>
    </font>
    <font>
      <sz val="1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4"/>
      <name val="Arial Narrow"/>
      <family val="2"/>
    </font>
    <font>
      <b/>
      <sz val="14"/>
      <color indexed="12"/>
      <name val="Arial Narrow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3">
    <xf numFmtId="0" fontId="0" fillId="0" borderId="0" applyBorder="0">
      <alignment vertical="center" wrapText="1"/>
    </xf>
    <xf numFmtId="0" fontId="6" fillId="0" borderId="0" applyNumberFormat="0" applyFill="0" applyBorder="0" applyAlignment="0" applyProtection="0">
      <alignment vertical="top"/>
      <protection locked="0"/>
    </xf>
    <xf numFmtId="9" fontId="7" fillId="0" borderId="0" applyFont="0" applyFill="0" applyBorder="0" applyAlignment="0" applyProtection="0"/>
  </cellStyleXfs>
  <cellXfs count="30">
    <xf numFmtId="0" fontId="0" fillId="0" borderId="0" xfId="0">
      <alignment vertical="center" wrapText="1"/>
    </xf>
    <xf numFmtId="0" fontId="1" fillId="0" borderId="0" xfId="0" applyFont="1" applyBorder="1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wrapText="1"/>
    </xf>
    <xf numFmtId="49" fontId="2" fillId="0" borderId="0" xfId="0" applyNumberFormat="1" applyFont="1" applyBorder="1" applyAlignment="1" applyProtection="1">
      <alignment vertical="center" wrapText="1"/>
    </xf>
    <xf numFmtId="0" fontId="1" fillId="0" borderId="0" xfId="0" applyFont="1" applyBorder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 applyBorder="1" applyAlignment="1">
      <alignment wrapText="1"/>
    </xf>
    <xf numFmtId="0" fontId="8" fillId="0" borderId="1" xfId="0" applyFont="1" applyBorder="1" applyAlignment="1">
      <alignment horizontal="center" vertical="center" wrapText="1"/>
    </xf>
    <xf numFmtId="9" fontId="8" fillId="0" borderId="7" xfId="2" applyFont="1" applyBorder="1" applyAlignment="1">
      <alignment horizontal="center" vertical="center"/>
    </xf>
    <xf numFmtId="9" fontId="8" fillId="0" borderId="10" xfId="2" applyFont="1" applyBorder="1" applyAlignment="1">
      <alignment horizontal="center" vertical="center"/>
    </xf>
    <xf numFmtId="0" fontId="11" fillId="3" borderId="3" xfId="1" applyFont="1" applyFill="1" applyBorder="1" applyAlignment="1" applyProtection="1">
      <alignment horizontal="center" wrapText="1"/>
    </xf>
    <xf numFmtId="0" fontId="11" fillId="3" borderId="4" xfId="1" applyFont="1" applyFill="1" applyBorder="1" applyAlignment="1" applyProtection="1">
      <alignment horizontal="center" wrapText="1"/>
    </xf>
    <xf numFmtId="0" fontId="11" fillId="2" borderId="4" xfId="1" applyFont="1" applyFill="1" applyBorder="1" applyAlignment="1" applyProtection="1">
      <alignment horizontal="center" textRotation="90" wrapText="1"/>
    </xf>
    <xf numFmtId="0" fontId="11" fillId="3" borderId="4" xfId="1" applyFont="1" applyFill="1" applyBorder="1" applyAlignment="1" applyProtection="1">
      <alignment horizontal="center" textRotation="90" wrapText="1"/>
    </xf>
    <xf numFmtId="0" fontId="11" fillId="3" borderId="5" xfId="1" applyFont="1" applyFill="1" applyBorder="1" applyAlignment="1" applyProtection="1">
      <alignment horizontal="center" wrapText="1"/>
    </xf>
    <xf numFmtId="164" fontId="8" fillId="0" borderId="7" xfId="0" applyNumberFormat="1" applyFont="1" applyBorder="1" applyAlignment="1" applyProtection="1">
      <alignment horizontal="center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9" fontId="8" fillId="0" borderId="7" xfId="2" applyFont="1" applyBorder="1" applyAlignment="1" applyProtection="1">
      <alignment horizontal="center" vertical="center" wrapText="1"/>
      <protection locked="0"/>
    </xf>
    <xf numFmtId="49" fontId="8" fillId="0" borderId="9" xfId="0" applyNumberFormat="1" applyFont="1" applyBorder="1" applyAlignment="1" applyProtection="1">
      <alignment horizontal="center" vertical="center" wrapText="1"/>
      <protection locked="0"/>
    </xf>
    <xf numFmtId="0" fontId="8" fillId="0" borderId="10" xfId="0" applyFont="1" applyBorder="1" applyAlignment="1" applyProtection="1">
      <alignment horizontal="center" vertical="center" wrapText="1"/>
      <protection locked="0"/>
    </xf>
    <xf numFmtId="9" fontId="8" fillId="0" borderId="10" xfId="2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 applyProtection="1">
      <alignment horizontal="left" vertical="center" wrapText="1"/>
      <protection locked="0"/>
    </xf>
    <xf numFmtId="14" fontId="8" fillId="0" borderId="8" xfId="0" applyNumberFormat="1" applyFont="1" applyBorder="1" applyAlignment="1" applyProtection="1">
      <alignment horizontal="center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14" fontId="8" fillId="0" borderId="11" xfId="0" applyNumberFormat="1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d/mm/yyyy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;[Red]\-&quot;$&quot;#,##0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border>
        <top style="hair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12"/>
        <name val="Arial Narrow"/>
        <scheme val="none"/>
      </font>
      <fill>
        <patternFill patternType="solid">
          <fgColor indexed="64"/>
          <bgColor indexed="55"/>
        </patternFill>
      </fill>
      <alignment horizontal="center" vertical="bottom" textRotation="9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  <protection locked="1" hidden="0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B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le24" displayName="Table24" ref="B2:Q25" totalsRowShown="0" headerRowDxfId="19" headerRowBorderDxfId="18" tableBorderDxfId="17" totalsRowBorderDxfId="16" headerRowCellStyle="Hyperlink">
  <autoFilter ref="B2:Q25"/>
  <sortState ref="B3:Q25">
    <sortCondition ref="B2:B25"/>
  </sortState>
  <tableColumns count="16">
    <tableColumn id="1" name="    Risk ID_x000a_" dataDxfId="15"/>
    <tableColumn id="2" name="Risk" dataDxfId="14"/>
    <tableColumn id="3" name="    Asset owner" dataDxfId="13"/>
    <tableColumn id="4" name="Impact" dataDxfId="12"/>
    <tableColumn id="5" name="    Raw probability" dataDxfId="11" dataCellStyle="Percent"/>
    <tableColumn id="6" name="    Raw impact" dataDxfId="10" dataCellStyle="Percent"/>
    <tableColumn id="7" name="    Raw risk rating" dataDxfId="9" dataCellStyle="Percent">
      <calculatedColumnFormula>F3*G3</calculatedColumnFormula>
    </tableColumn>
    <tableColumn id="8" name="Treatment" dataDxfId="8"/>
    <tableColumn id="9" name="    Treatment cost" dataDxfId="7"/>
    <tableColumn id="10" name="    Treatment status" dataDxfId="6" dataCellStyle="Percent"/>
    <tableColumn id="11" name="    Treated probability" dataDxfId="5" dataCellStyle="Percent">
      <calculatedColumnFormula>Table24[[#This Row],[    Raw probability]]</calculatedColumnFormula>
    </tableColumn>
    <tableColumn id="12" name="    Treated impact" dataDxfId="4" dataCellStyle="Percent">
      <calculatedColumnFormula>Table24[[#This Row],[    Raw impact]]</calculatedColumnFormula>
    </tableColumn>
    <tableColumn id="13" name="    Target risk rating" dataDxfId="3" dataCellStyle="Percent">
      <calculatedColumnFormula>L3*M3</calculatedColumnFormula>
    </tableColumn>
    <tableColumn id="17" name="    Current risk rating" dataDxfId="2" dataCellStyle="Percent">
      <calculatedColumnFormula>Table24[[#This Row],[    Raw risk rating]]-(Table24[[#This Row],[    Treatment status]]*(Table24[[#This Row],[    Raw risk rating]]-Table24[[#This Row],[    Target risk rating]]))</calculatedColumnFormula>
    </tableColumn>
    <tableColumn id="15" name="Notes" dataDxfId="1"/>
    <tableColumn id="16" name="Last update_x000a_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T32"/>
  <sheetViews>
    <sheetView tabSelected="1" workbookViewId="0">
      <selection activeCell="K5" sqref="K5"/>
    </sheetView>
  </sheetViews>
  <sheetFormatPr defaultColWidth="9" defaultRowHeight="13.8" x14ac:dyDescent="0.25"/>
  <cols>
    <col min="1" max="1" width="1.59765625" style="2" customWidth="1"/>
    <col min="2" max="2" width="5.3984375" style="6" customWidth="1"/>
    <col min="3" max="3" width="24.09765625" style="2" customWidth="1"/>
    <col min="4" max="4" width="4.8984375" style="2" customWidth="1"/>
    <col min="5" max="5" width="27.19921875" style="2" customWidth="1"/>
    <col min="6" max="6" width="5.09765625" style="2" customWidth="1"/>
    <col min="7" max="7" width="5" style="2" customWidth="1"/>
    <col min="8" max="8" width="4.8984375" style="7" customWidth="1"/>
    <col min="9" max="9" width="25.19921875" style="2" customWidth="1"/>
    <col min="10" max="10" width="7.69921875" style="2" customWidth="1"/>
    <col min="11" max="14" width="5.09765625" style="2" customWidth="1"/>
    <col min="15" max="15" width="5.09765625" style="7" customWidth="1"/>
    <col min="16" max="16" width="75.59765625" style="2" customWidth="1"/>
    <col min="17" max="17" width="10.3984375" style="2" customWidth="1"/>
    <col min="18" max="18" width="0" style="2" hidden="1" customWidth="1"/>
    <col min="19" max="16384" width="9" style="2"/>
  </cols>
  <sheetData>
    <row r="1" spans="1:228" s="5" customFormat="1" ht="8.25" customHeigh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</row>
    <row r="2" spans="1:228" s="9" customFormat="1" ht="131.25" customHeight="1" x14ac:dyDescent="0.35">
      <c r="A2" s="3"/>
      <c r="B2" s="13" t="s">
        <v>10</v>
      </c>
      <c r="C2" s="14" t="s">
        <v>12</v>
      </c>
      <c r="D2" s="16" t="s">
        <v>7</v>
      </c>
      <c r="E2" s="14" t="s">
        <v>0</v>
      </c>
      <c r="F2" s="15" t="s">
        <v>2</v>
      </c>
      <c r="G2" s="15" t="s">
        <v>3</v>
      </c>
      <c r="H2" s="15" t="s">
        <v>4</v>
      </c>
      <c r="I2" s="14" t="s">
        <v>13</v>
      </c>
      <c r="J2" s="16" t="s">
        <v>8</v>
      </c>
      <c r="K2" s="16" t="s">
        <v>9</v>
      </c>
      <c r="L2" s="15" t="s">
        <v>5</v>
      </c>
      <c r="M2" s="15" t="s">
        <v>6</v>
      </c>
      <c r="N2" s="15" t="s">
        <v>15</v>
      </c>
      <c r="O2" s="15" t="s">
        <v>11</v>
      </c>
      <c r="P2" s="14" t="s">
        <v>1</v>
      </c>
      <c r="Q2" s="17" t="s">
        <v>14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</row>
    <row r="3" spans="1:228" s="8" customFormat="1" ht="47.25" customHeight="1" x14ac:dyDescent="0.25">
      <c r="A3" s="6"/>
      <c r="B3" s="19" t="s">
        <v>16</v>
      </c>
      <c r="C3" s="20" t="s">
        <v>19</v>
      </c>
      <c r="D3" s="20" t="s">
        <v>22</v>
      </c>
      <c r="E3" s="29" t="s">
        <v>24</v>
      </c>
      <c r="F3" s="21">
        <v>0.55000000000000004</v>
      </c>
      <c r="G3" s="21">
        <v>0.66</v>
      </c>
      <c r="H3" s="11">
        <f t="shared" ref="H3:H25" si="0">F3*G3</f>
        <v>0.36300000000000004</v>
      </c>
      <c r="I3" s="29" t="s">
        <v>27</v>
      </c>
      <c r="J3" s="18" t="s">
        <v>30</v>
      </c>
      <c r="K3" s="21">
        <v>0.66</v>
      </c>
      <c r="L3" s="21">
        <f>Table24[[#This Row],[    Raw probability]]</f>
        <v>0.55000000000000004</v>
      </c>
      <c r="M3" s="21">
        <f>Table24[[#This Row],[    Raw impact]]</f>
        <v>0.66</v>
      </c>
      <c r="N3" s="11">
        <f t="shared" ref="N3:N25" si="1">L3*M3</f>
        <v>0.36300000000000004</v>
      </c>
      <c r="O3" s="21">
        <f>Table24[[#This Row],[    Raw risk rating]]-(Table24[[#This Row],[    Treatment status]]*(Table24[[#This Row],[    Raw risk rating]]-Table24[[#This Row],[    Target risk rating]]))</f>
        <v>0.36300000000000004</v>
      </c>
      <c r="P3" s="25"/>
      <c r="Q3" s="26"/>
      <c r="R3" s="10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</row>
    <row r="4" spans="1:228" s="8" customFormat="1" ht="47.25" customHeight="1" x14ac:dyDescent="0.25">
      <c r="A4" s="6"/>
      <c r="B4" s="19" t="s">
        <v>17</v>
      </c>
      <c r="C4" s="20" t="s">
        <v>20</v>
      </c>
      <c r="D4" s="20" t="s">
        <v>22</v>
      </c>
      <c r="E4" s="29" t="s">
        <v>25</v>
      </c>
      <c r="F4" s="21">
        <v>0.3</v>
      </c>
      <c r="G4" s="21">
        <v>0.45</v>
      </c>
      <c r="H4" s="11">
        <f t="shared" si="0"/>
        <v>0.13500000000000001</v>
      </c>
      <c r="I4" s="29" t="s">
        <v>28</v>
      </c>
      <c r="J4" s="18" t="s">
        <v>31</v>
      </c>
      <c r="K4" s="21">
        <v>0.8</v>
      </c>
      <c r="L4" s="21">
        <f>Table24[[#This Row],[    Raw probability]]</f>
        <v>0.3</v>
      </c>
      <c r="M4" s="21">
        <f>Table24[[#This Row],[    Raw impact]]</f>
        <v>0.45</v>
      </c>
      <c r="N4" s="11">
        <f t="shared" si="1"/>
        <v>0.13500000000000001</v>
      </c>
      <c r="O4" s="21">
        <f>Table24[[#This Row],[    Raw risk rating]]-(Table24[[#This Row],[    Treatment status]]*(Table24[[#This Row],[    Raw risk rating]]-Table24[[#This Row],[    Target risk rating]]))</f>
        <v>0.13500000000000001</v>
      </c>
      <c r="P4" s="25"/>
      <c r="Q4" s="26"/>
      <c r="R4" s="10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</row>
    <row r="5" spans="1:228" s="8" customFormat="1" ht="47.25" customHeight="1" x14ac:dyDescent="0.25">
      <c r="A5" s="6"/>
      <c r="B5" s="19" t="s">
        <v>18</v>
      </c>
      <c r="C5" s="20" t="s">
        <v>21</v>
      </c>
      <c r="D5" s="20" t="s">
        <v>23</v>
      </c>
      <c r="E5" s="29" t="s">
        <v>26</v>
      </c>
      <c r="F5" s="21">
        <v>0.85</v>
      </c>
      <c r="G5" s="21">
        <v>0.7</v>
      </c>
      <c r="H5" s="11">
        <f t="shared" si="0"/>
        <v>0.59499999999999997</v>
      </c>
      <c r="I5" s="29" t="s">
        <v>29</v>
      </c>
      <c r="J5" s="18" t="s">
        <v>32</v>
      </c>
      <c r="K5" s="21">
        <v>0.8</v>
      </c>
      <c r="L5" s="21">
        <f>Table24[[#This Row],[    Raw probability]]</f>
        <v>0.85</v>
      </c>
      <c r="M5" s="21">
        <f>Table24[[#This Row],[    Raw impact]]</f>
        <v>0.7</v>
      </c>
      <c r="N5" s="11">
        <f t="shared" si="1"/>
        <v>0.59499999999999997</v>
      </c>
      <c r="O5" s="21">
        <f>Table24[[#This Row],[    Raw risk rating]]-(Table24[[#This Row],[    Treatment status]]*(Table24[[#This Row],[    Raw risk rating]]-Table24[[#This Row],[    Target risk rating]]))</f>
        <v>0.59499999999999997</v>
      </c>
      <c r="P5" s="25"/>
      <c r="Q5" s="26"/>
      <c r="R5" s="10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</row>
    <row r="6" spans="1:228" s="8" customFormat="1" ht="47.25" customHeight="1" x14ac:dyDescent="0.25">
      <c r="A6" s="6"/>
      <c r="B6" s="19"/>
      <c r="C6" s="20"/>
      <c r="D6" s="20"/>
      <c r="E6" s="29"/>
      <c r="F6" s="21"/>
      <c r="G6" s="21"/>
      <c r="H6" s="11">
        <f t="shared" si="0"/>
        <v>0</v>
      </c>
      <c r="I6" s="29"/>
      <c r="J6" s="18"/>
      <c r="K6" s="21"/>
      <c r="L6" s="21">
        <f>Table24[[#This Row],[    Raw probability]]</f>
        <v>0</v>
      </c>
      <c r="M6" s="21">
        <f>Table24[[#This Row],[    Raw impact]]</f>
        <v>0</v>
      </c>
      <c r="N6" s="11">
        <f t="shared" si="1"/>
        <v>0</v>
      </c>
      <c r="O6" s="21">
        <f>Table24[[#This Row],[    Raw risk rating]]-(Table24[[#This Row],[    Treatment status]]*(Table24[[#This Row],[    Raw risk rating]]-Table24[[#This Row],[    Target risk rating]]))</f>
        <v>0</v>
      </c>
      <c r="P6" s="25"/>
      <c r="Q6" s="26"/>
      <c r="R6" s="10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</row>
    <row r="7" spans="1:228" s="8" customFormat="1" ht="47.25" customHeight="1" x14ac:dyDescent="0.25">
      <c r="A7" s="6"/>
      <c r="B7" s="19"/>
      <c r="C7" s="20"/>
      <c r="D7" s="20"/>
      <c r="E7" s="29"/>
      <c r="F7" s="21"/>
      <c r="G7" s="21"/>
      <c r="H7" s="11">
        <f t="shared" si="0"/>
        <v>0</v>
      </c>
      <c r="I7" s="29"/>
      <c r="J7" s="18"/>
      <c r="K7" s="21"/>
      <c r="L7" s="21">
        <f>Table24[[#This Row],[    Raw probability]]</f>
        <v>0</v>
      </c>
      <c r="M7" s="21">
        <f>Table24[[#This Row],[    Raw impact]]</f>
        <v>0</v>
      </c>
      <c r="N7" s="11">
        <f t="shared" si="1"/>
        <v>0</v>
      </c>
      <c r="O7" s="21">
        <f>Table24[[#This Row],[    Raw risk rating]]-(Table24[[#This Row],[    Treatment status]]*(Table24[[#This Row],[    Raw risk rating]]-Table24[[#This Row],[    Target risk rating]]))</f>
        <v>0</v>
      </c>
      <c r="P7" s="25"/>
      <c r="Q7" s="26"/>
      <c r="R7" s="10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</row>
    <row r="8" spans="1:228" s="8" customFormat="1" ht="47.25" customHeight="1" x14ac:dyDescent="0.25">
      <c r="A8" s="6"/>
      <c r="B8" s="19"/>
      <c r="C8" s="20"/>
      <c r="D8" s="20"/>
      <c r="E8" s="29"/>
      <c r="F8" s="21"/>
      <c r="G8" s="21"/>
      <c r="H8" s="11">
        <f t="shared" si="0"/>
        <v>0</v>
      </c>
      <c r="I8" s="29"/>
      <c r="J8" s="18"/>
      <c r="K8" s="21"/>
      <c r="L8" s="21">
        <f>Table24[[#This Row],[    Raw probability]]</f>
        <v>0</v>
      </c>
      <c r="M8" s="21">
        <f>Table24[[#This Row],[    Raw impact]]</f>
        <v>0</v>
      </c>
      <c r="N8" s="11">
        <f t="shared" si="1"/>
        <v>0</v>
      </c>
      <c r="O8" s="21">
        <f>Table24[[#This Row],[    Raw risk rating]]-(Table24[[#This Row],[    Treatment status]]*(Table24[[#This Row],[    Raw risk rating]]-Table24[[#This Row],[    Target risk rating]]))</f>
        <v>0</v>
      </c>
      <c r="P8" s="25"/>
      <c r="Q8" s="26"/>
      <c r="R8" s="10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</row>
    <row r="9" spans="1:228" s="8" customFormat="1" ht="47.25" customHeight="1" x14ac:dyDescent="0.25">
      <c r="A9" s="6"/>
      <c r="B9" s="19"/>
      <c r="C9" s="20"/>
      <c r="D9" s="20"/>
      <c r="E9" s="29"/>
      <c r="F9" s="21"/>
      <c r="G9" s="21"/>
      <c r="H9" s="11">
        <f t="shared" si="0"/>
        <v>0</v>
      </c>
      <c r="I9" s="29"/>
      <c r="J9" s="18"/>
      <c r="K9" s="21"/>
      <c r="L9" s="21">
        <f>Table24[[#This Row],[    Raw probability]]</f>
        <v>0</v>
      </c>
      <c r="M9" s="21">
        <f>Table24[[#This Row],[    Raw impact]]</f>
        <v>0</v>
      </c>
      <c r="N9" s="11">
        <f t="shared" si="1"/>
        <v>0</v>
      </c>
      <c r="O9" s="21">
        <f>Table24[[#This Row],[    Raw risk rating]]-(Table24[[#This Row],[    Treatment status]]*(Table24[[#This Row],[    Raw risk rating]]-Table24[[#This Row],[    Target risk rating]]))</f>
        <v>0</v>
      </c>
      <c r="P9" s="25"/>
      <c r="Q9" s="26"/>
      <c r="R9" s="10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</row>
    <row r="10" spans="1:228" s="8" customFormat="1" ht="47.25" customHeight="1" x14ac:dyDescent="0.25">
      <c r="A10" s="6"/>
      <c r="B10" s="19"/>
      <c r="C10" s="20"/>
      <c r="D10" s="20"/>
      <c r="E10" s="29"/>
      <c r="F10" s="21"/>
      <c r="G10" s="21"/>
      <c r="H10" s="11">
        <f t="shared" si="0"/>
        <v>0</v>
      </c>
      <c r="I10" s="29"/>
      <c r="J10" s="18"/>
      <c r="K10" s="21"/>
      <c r="L10" s="21">
        <f>Table24[[#This Row],[    Raw probability]]</f>
        <v>0</v>
      </c>
      <c r="M10" s="21">
        <f>Table24[[#This Row],[    Raw impact]]</f>
        <v>0</v>
      </c>
      <c r="N10" s="11">
        <f t="shared" si="1"/>
        <v>0</v>
      </c>
      <c r="O10" s="21">
        <f>Table24[[#This Row],[    Raw risk rating]]-(Table24[[#This Row],[    Treatment status]]*(Table24[[#This Row],[    Raw risk rating]]-Table24[[#This Row],[    Target risk rating]]))</f>
        <v>0</v>
      </c>
      <c r="P10" s="25"/>
      <c r="Q10" s="26"/>
      <c r="R10" s="10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</row>
    <row r="11" spans="1:228" s="8" customFormat="1" ht="47.25" customHeight="1" x14ac:dyDescent="0.25">
      <c r="A11" s="6"/>
      <c r="B11" s="19"/>
      <c r="C11" s="20"/>
      <c r="D11" s="20"/>
      <c r="E11" s="29"/>
      <c r="F11" s="21"/>
      <c r="G11" s="21"/>
      <c r="H11" s="11">
        <f t="shared" si="0"/>
        <v>0</v>
      </c>
      <c r="I11" s="29"/>
      <c r="J11" s="18"/>
      <c r="K11" s="21"/>
      <c r="L11" s="21">
        <f>Table24[[#This Row],[    Raw probability]]</f>
        <v>0</v>
      </c>
      <c r="M11" s="21">
        <f>Table24[[#This Row],[    Raw impact]]</f>
        <v>0</v>
      </c>
      <c r="N11" s="11">
        <f t="shared" si="1"/>
        <v>0</v>
      </c>
      <c r="O11" s="21">
        <f>Table24[[#This Row],[    Raw risk rating]]-(Table24[[#This Row],[    Treatment status]]*(Table24[[#This Row],[    Raw risk rating]]-Table24[[#This Row],[    Target risk rating]]))</f>
        <v>0</v>
      </c>
      <c r="P11" s="25"/>
      <c r="Q11" s="26"/>
      <c r="R11" s="10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</row>
    <row r="12" spans="1:228" s="8" customFormat="1" ht="32.25" customHeight="1" x14ac:dyDescent="0.25">
      <c r="A12" s="6"/>
      <c r="B12" s="19"/>
      <c r="C12" s="20"/>
      <c r="D12" s="20"/>
      <c r="E12" s="20"/>
      <c r="F12" s="21"/>
      <c r="G12" s="21"/>
      <c r="H12" s="11">
        <f t="shared" si="0"/>
        <v>0</v>
      </c>
      <c r="I12" s="20"/>
      <c r="J12" s="18"/>
      <c r="K12" s="21"/>
      <c r="L12" s="21">
        <f>Table24[[#This Row],[    Raw probability]]</f>
        <v>0</v>
      </c>
      <c r="M12" s="21">
        <f>Table24[[#This Row],[    Raw impact]]</f>
        <v>0</v>
      </c>
      <c r="N12" s="11">
        <f t="shared" si="1"/>
        <v>0</v>
      </c>
      <c r="O12" s="21">
        <f>Table24[[#This Row],[    Raw risk rating]]-(Table24[[#This Row],[    Treatment status]]*(Table24[[#This Row],[    Raw risk rating]]-Table24[[#This Row],[    Target risk rating]]))</f>
        <v>0</v>
      </c>
      <c r="P12" s="25"/>
      <c r="Q12" s="26"/>
      <c r="R12" s="10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</row>
    <row r="13" spans="1:228" s="8" customFormat="1" ht="32.25" customHeight="1" x14ac:dyDescent="0.25">
      <c r="A13" s="6"/>
      <c r="B13" s="19"/>
      <c r="C13" s="20"/>
      <c r="D13" s="20"/>
      <c r="E13" s="20"/>
      <c r="F13" s="21"/>
      <c r="G13" s="21"/>
      <c r="H13" s="11">
        <f t="shared" si="0"/>
        <v>0</v>
      </c>
      <c r="I13" s="20"/>
      <c r="J13" s="18"/>
      <c r="K13" s="21"/>
      <c r="L13" s="21">
        <f>Table24[[#This Row],[    Raw probability]]</f>
        <v>0</v>
      </c>
      <c r="M13" s="21">
        <f>Table24[[#This Row],[    Raw impact]]</f>
        <v>0</v>
      </c>
      <c r="N13" s="11">
        <f t="shared" si="1"/>
        <v>0</v>
      </c>
      <c r="O13" s="21">
        <f>Table24[[#This Row],[    Raw risk rating]]-(Table24[[#This Row],[    Treatment status]]*(Table24[[#This Row],[    Raw risk rating]]-Table24[[#This Row],[    Target risk rating]]))</f>
        <v>0</v>
      </c>
      <c r="P13" s="25"/>
      <c r="Q13" s="26"/>
      <c r="R13" s="10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</row>
    <row r="14" spans="1:228" s="8" customFormat="1" ht="32.25" customHeight="1" x14ac:dyDescent="0.25">
      <c r="A14" s="6"/>
      <c r="B14" s="19"/>
      <c r="C14" s="20"/>
      <c r="D14" s="20"/>
      <c r="E14" s="20"/>
      <c r="F14" s="21"/>
      <c r="G14" s="21"/>
      <c r="H14" s="11">
        <f t="shared" si="0"/>
        <v>0</v>
      </c>
      <c r="I14" s="20"/>
      <c r="J14" s="18"/>
      <c r="K14" s="21"/>
      <c r="L14" s="21">
        <f>Table24[[#This Row],[    Raw probability]]</f>
        <v>0</v>
      </c>
      <c r="M14" s="21">
        <f>Table24[[#This Row],[    Raw impact]]</f>
        <v>0</v>
      </c>
      <c r="N14" s="11">
        <f t="shared" si="1"/>
        <v>0</v>
      </c>
      <c r="O14" s="21">
        <f>Table24[[#This Row],[    Raw risk rating]]-(Table24[[#This Row],[    Treatment status]]*(Table24[[#This Row],[    Raw risk rating]]-Table24[[#This Row],[    Target risk rating]]))</f>
        <v>0</v>
      </c>
      <c r="P14" s="25"/>
      <c r="Q14" s="26"/>
      <c r="R14" s="10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</row>
    <row r="15" spans="1:228" s="8" customFormat="1" ht="32.25" customHeight="1" x14ac:dyDescent="0.25">
      <c r="A15" s="6"/>
      <c r="B15" s="19"/>
      <c r="C15" s="20"/>
      <c r="D15" s="20"/>
      <c r="E15" s="20"/>
      <c r="F15" s="21"/>
      <c r="G15" s="21"/>
      <c r="H15" s="11">
        <f t="shared" si="0"/>
        <v>0</v>
      </c>
      <c r="I15" s="20"/>
      <c r="J15" s="18"/>
      <c r="K15" s="21"/>
      <c r="L15" s="21">
        <f>Table24[[#This Row],[    Raw probability]]</f>
        <v>0</v>
      </c>
      <c r="M15" s="21">
        <f>Table24[[#This Row],[    Raw impact]]</f>
        <v>0</v>
      </c>
      <c r="N15" s="11">
        <f t="shared" si="1"/>
        <v>0</v>
      </c>
      <c r="O15" s="21">
        <f>Table24[[#This Row],[    Raw risk rating]]-(Table24[[#This Row],[    Treatment status]]*(Table24[[#This Row],[    Raw risk rating]]-Table24[[#This Row],[    Target risk rating]]))</f>
        <v>0</v>
      </c>
      <c r="P15" s="25"/>
      <c r="Q15" s="26"/>
      <c r="R15" s="10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</row>
    <row r="16" spans="1:228" s="8" customFormat="1" ht="32.25" customHeight="1" x14ac:dyDescent="0.25">
      <c r="A16" s="6"/>
      <c r="B16" s="19"/>
      <c r="C16" s="20"/>
      <c r="D16" s="20"/>
      <c r="E16" s="20"/>
      <c r="F16" s="21"/>
      <c r="G16" s="21"/>
      <c r="H16" s="11">
        <f t="shared" si="0"/>
        <v>0</v>
      </c>
      <c r="I16" s="20"/>
      <c r="J16" s="18"/>
      <c r="K16" s="21"/>
      <c r="L16" s="21">
        <f>Table24[[#This Row],[    Raw probability]]</f>
        <v>0</v>
      </c>
      <c r="M16" s="21">
        <f>Table24[[#This Row],[    Raw impact]]</f>
        <v>0</v>
      </c>
      <c r="N16" s="11">
        <f t="shared" si="1"/>
        <v>0</v>
      </c>
      <c r="O16" s="21">
        <f>Table24[[#This Row],[    Raw risk rating]]-(Table24[[#This Row],[    Treatment status]]*(Table24[[#This Row],[    Raw risk rating]]-Table24[[#This Row],[    Target risk rating]]))</f>
        <v>0</v>
      </c>
      <c r="P16" s="25"/>
      <c r="Q16" s="26"/>
      <c r="R16" s="10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</row>
    <row r="17" spans="1:228" s="8" customFormat="1" ht="32.25" customHeight="1" x14ac:dyDescent="0.25">
      <c r="A17" s="6"/>
      <c r="B17" s="19"/>
      <c r="C17" s="20"/>
      <c r="D17" s="20"/>
      <c r="E17" s="20"/>
      <c r="F17" s="21"/>
      <c r="G17" s="21"/>
      <c r="H17" s="11">
        <f t="shared" si="0"/>
        <v>0</v>
      </c>
      <c r="I17" s="20"/>
      <c r="J17" s="18"/>
      <c r="K17" s="21"/>
      <c r="L17" s="21">
        <f>Table24[[#This Row],[    Raw probability]]</f>
        <v>0</v>
      </c>
      <c r="M17" s="21">
        <f>Table24[[#This Row],[    Raw impact]]</f>
        <v>0</v>
      </c>
      <c r="N17" s="11">
        <f t="shared" si="1"/>
        <v>0</v>
      </c>
      <c r="O17" s="21">
        <f>Table24[[#This Row],[    Raw risk rating]]-(Table24[[#This Row],[    Treatment status]]*(Table24[[#This Row],[    Raw risk rating]]-Table24[[#This Row],[    Target risk rating]]))</f>
        <v>0</v>
      </c>
      <c r="P17" s="25"/>
      <c r="Q17" s="26"/>
      <c r="R17" s="10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</row>
    <row r="18" spans="1:228" s="8" customFormat="1" ht="32.25" customHeight="1" x14ac:dyDescent="0.25">
      <c r="A18" s="6"/>
      <c r="B18" s="19"/>
      <c r="C18" s="20"/>
      <c r="D18" s="20"/>
      <c r="E18" s="20"/>
      <c r="F18" s="21"/>
      <c r="G18" s="21"/>
      <c r="H18" s="11">
        <f t="shared" si="0"/>
        <v>0</v>
      </c>
      <c r="I18" s="20"/>
      <c r="J18" s="18"/>
      <c r="K18" s="21"/>
      <c r="L18" s="21">
        <f>Table24[[#This Row],[    Raw probability]]</f>
        <v>0</v>
      </c>
      <c r="M18" s="21">
        <f>Table24[[#This Row],[    Raw impact]]</f>
        <v>0</v>
      </c>
      <c r="N18" s="11">
        <f t="shared" si="1"/>
        <v>0</v>
      </c>
      <c r="O18" s="21">
        <f>Table24[[#This Row],[    Raw risk rating]]-(Table24[[#This Row],[    Treatment status]]*(Table24[[#This Row],[    Raw risk rating]]-Table24[[#This Row],[    Target risk rating]]))</f>
        <v>0</v>
      </c>
      <c r="P18" s="25"/>
      <c r="Q18" s="26"/>
      <c r="R18" s="10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</row>
    <row r="19" spans="1:228" s="8" customFormat="1" ht="32.25" customHeight="1" x14ac:dyDescent="0.25">
      <c r="A19" s="6"/>
      <c r="B19" s="19"/>
      <c r="C19" s="20"/>
      <c r="D19" s="20"/>
      <c r="E19" s="20"/>
      <c r="F19" s="21"/>
      <c r="G19" s="21"/>
      <c r="H19" s="11">
        <f t="shared" si="0"/>
        <v>0</v>
      </c>
      <c r="I19" s="20"/>
      <c r="J19" s="18"/>
      <c r="K19" s="21"/>
      <c r="L19" s="21">
        <f>Table24[[#This Row],[    Raw probability]]</f>
        <v>0</v>
      </c>
      <c r="M19" s="21">
        <f>Table24[[#This Row],[    Raw impact]]</f>
        <v>0</v>
      </c>
      <c r="N19" s="11">
        <f t="shared" si="1"/>
        <v>0</v>
      </c>
      <c r="O19" s="21">
        <f>Table24[[#This Row],[    Raw risk rating]]-(Table24[[#This Row],[    Treatment status]]*(Table24[[#This Row],[    Raw risk rating]]-Table24[[#This Row],[    Target risk rating]]))</f>
        <v>0</v>
      </c>
      <c r="P19" s="25"/>
      <c r="Q19" s="26"/>
      <c r="R19" s="10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</row>
    <row r="20" spans="1:228" s="8" customFormat="1" ht="32.25" customHeight="1" x14ac:dyDescent="0.25">
      <c r="A20" s="6"/>
      <c r="B20" s="19"/>
      <c r="C20" s="20"/>
      <c r="D20" s="20"/>
      <c r="E20" s="20"/>
      <c r="F20" s="21"/>
      <c r="G20" s="21"/>
      <c r="H20" s="11">
        <f t="shared" si="0"/>
        <v>0</v>
      </c>
      <c r="I20" s="20"/>
      <c r="J20" s="18"/>
      <c r="K20" s="21"/>
      <c r="L20" s="21">
        <f>Table24[[#This Row],[    Raw probability]]</f>
        <v>0</v>
      </c>
      <c r="M20" s="21">
        <f>Table24[[#This Row],[    Raw impact]]</f>
        <v>0</v>
      </c>
      <c r="N20" s="11">
        <f t="shared" si="1"/>
        <v>0</v>
      </c>
      <c r="O20" s="21">
        <f>Table24[[#This Row],[    Raw risk rating]]-(Table24[[#This Row],[    Treatment status]]*(Table24[[#This Row],[    Raw risk rating]]-Table24[[#This Row],[    Target risk rating]]))</f>
        <v>0</v>
      </c>
      <c r="P20" s="25"/>
      <c r="Q20" s="26"/>
      <c r="R20" s="10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</row>
    <row r="21" spans="1:228" s="8" customFormat="1" ht="32.25" customHeight="1" x14ac:dyDescent="0.25">
      <c r="A21" s="6"/>
      <c r="B21" s="19"/>
      <c r="C21" s="20"/>
      <c r="D21" s="20"/>
      <c r="E21" s="20"/>
      <c r="F21" s="21"/>
      <c r="G21" s="21"/>
      <c r="H21" s="11">
        <f t="shared" si="0"/>
        <v>0</v>
      </c>
      <c r="I21" s="20"/>
      <c r="J21" s="18"/>
      <c r="K21" s="21"/>
      <c r="L21" s="21">
        <f>Table24[[#This Row],[    Raw probability]]</f>
        <v>0</v>
      </c>
      <c r="M21" s="21">
        <f>Table24[[#This Row],[    Raw impact]]</f>
        <v>0</v>
      </c>
      <c r="N21" s="11">
        <f t="shared" si="1"/>
        <v>0</v>
      </c>
      <c r="O21" s="21">
        <f>Table24[[#This Row],[    Raw risk rating]]-(Table24[[#This Row],[    Treatment status]]*(Table24[[#This Row],[    Raw risk rating]]-Table24[[#This Row],[    Target risk rating]]))</f>
        <v>0</v>
      </c>
      <c r="P21" s="25"/>
      <c r="Q21" s="26"/>
      <c r="R21" s="10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</row>
    <row r="22" spans="1:228" s="8" customFormat="1" ht="32.25" customHeight="1" x14ac:dyDescent="0.25">
      <c r="A22" s="6"/>
      <c r="B22" s="19"/>
      <c r="C22" s="20"/>
      <c r="D22" s="20"/>
      <c r="E22" s="20"/>
      <c r="F22" s="21"/>
      <c r="G22" s="21"/>
      <c r="H22" s="11">
        <f t="shared" si="0"/>
        <v>0</v>
      </c>
      <c r="I22" s="20"/>
      <c r="J22" s="18"/>
      <c r="K22" s="21"/>
      <c r="L22" s="21">
        <f>Table24[[#This Row],[    Raw probability]]</f>
        <v>0</v>
      </c>
      <c r="M22" s="21">
        <f>Table24[[#This Row],[    Raw impact]]</f>
        <v>0</v>
      </c>
      <c r="N22" s="11">
        <f t="shared" si="1"/>
        <v>0</v>
      </c>
      <c r="O22" s="21">
        <f>Table24[[#This Row],[    Raw risk rating]]-(Table24[[#This Row],[    Treatment status]]*(Table24[[#This Row],[    Raw risk rating]]-Table24[[#This Row],[    Target risk rating]]))</f>
        <v>0</v>
      </c>
      <c r="P22" s="25"/>
      <c r="Q22" s="26"/>
      <c r="R22" s="10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</row>
    <row r="23" spans="1:228" s="8" customFormat="1" ht="32.25" customHeight="1" x14ac:dyDescent="0.25">
      <c r="A23" s="6"/>
      <c r="B23" s="19"/>
      <c r="C23" s="20"/>
      <c r="D23" s="20"/>
      <c r="E23" s="20"/>
      <c r="F23" s="21"/>
      <c r="G23" s="21"/>
      <c r="H23" s="11">
        <f t="shared" si="0"/>
        <v>0</v>
      </c>
      <c r="I23" s="20"/>
      <c r="J23" s="18"/>
      <c r="K23" s="21"/>
      <c r="L23" s="21">
        <f>Table24[[#This Row],[    Raw probability]]</f>
        <v>0</v>
      </c>
      <c r="M23" s="21">
        <f>Table24[[#This Row],[    Raw impact]]</f>
        <v>0</v>
      </c>
      <c r="N23" s="11">
        <f t="shared" si="1"/>
        <v>0</v>
      </c>
      <c r="O23" s="21">
        <f>Table24[[#This Row],[    Raw risk rating]]-(Table24[[#This Row],[    Treatment status]]*(Table24[[#This Row],[    Raw risk rating]]-Table24[[#This Row],[    Target risk rating]]))</f>
        <v>0</v>
      </c>
      <c r="P23" s="25"/>
      <c r="Q23" s="26"/>
      <c r="R23" s="10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</row>
    <row r="24" spans="1:228" s="8" customFormat="1" ht="32.25" customHeight="1" x14ac:dyDescent="0.25">
      <c r="A24" s="6"/>
      <c r="B24" s="19"/>
      <c r="C24" s="20"/>
      <c r="D24" s="20"/>
      <c r="E24" s="20"/>
      <c r="F24" s="21"/>
      <c r="G24" s="21"/>
      <c r="H24" s="11">
        <f t="shared" si="0"/>
        <v>0</v>
      </c>
      <c r="I24" s="20"/>
      <c r="J24" s="18"/>
      <c r="K24" s="21"/>
      <c r="L24" s="21">
        <f>Table24[[#This Row],[    Raw probability]]</f>
        <v>0</v>
      </c>
      <c r="M24" s="21">
        <f>Table24[[#This Row],[    Raw impact]]</f>
        <v>0</v>
      </c>
      <c r="N24" s="11">
        <f t="shared" si="1"/>
        <v>0</v>
      </c>
      <c r="O24" s="21">
        <f>Table24[[#This Row],[    Raw risk rating]]-(Table24[[#This Row],[    Treatment status]]*(Table24[[#This Row],[    Raw risk rating]]-Table24[[#This Row],[    Target risk rating]]))</f>
        <v>0</v>
      </c>
      <c r="P24" s="25"/>
      <c r="Q24" s="26"/>
      <c r="R24" s="10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</row>
    <row r="25" spans="1:228" s="8" customFormat="1" ht="32.25" customHeight="1" x14ac:dyDescent="0.25">
      <c r="A25" s="6"/>
      <c r="B25" s="22"/>
      <c r="C25" s="23"/>
      <c r="D25" s="23"/>
      <c r="E25" s="23"/>
      <c r="F25" s="24"/>
      <c r="G25" s="24"/>
      <c r="H25" s="12">
        <f t="shared" si="0"/>
        <v>0</v>
      </c>
      <c r="I25" s="23"/>
      <c r="J25" s="18"/>
      <c r="K25" s="24"/>
      <c r="L25" s="21">
        <f>Table24[[#This Row],[    Raw probability]]</f>
        <v>0</v>
      </c>
      <c r="M25" s="21">
        <f>Table24[[#This Row],[    Raw impact]]</f>
        <v>0</v>
      </c>
      <c r="N25" s="12">
        <f t="shared" si="1"/>
        <v>0</v>
      </c>
      <c r="O25" s="21">
        <f>Table24[[#This Row],[    Raw risk rating]]-(Table24[[#This Row],[    Treatment status]]*(Table24[[#This Row],[    Raw risk rating]]-Table24[[#This Row],[    Target risk rating]]))</f>
        <v>0</v>
      </c>
      <c r="P25" s="27"/>
      <c r="Q25" s="28"/>
      <c r="R25" s="10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</row>
    <row r="26" spans="1:228" x14ac:dyDescent="0.25">
      <c r="A26" s="6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</row>
    <row r="27" spans="1:228" x14ac:dyDescent="0.25"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</row>
    <row r="28" spans="1:228" x14ac:dyDescent="0.25"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</row>
    <row r="29" spans="1:228" x14ac:dyDescent="0.25"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</row>
    <row r="30" spans="1:228" x14ac:dyDescent="0.25"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</row>
    <row r="31" spans="1:228" x14ac:dyDescent="0.25"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</row>
    <row r="32" spans="1:228" x14ac:dyDescent="0.25"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</row>
  </sheetData>
  <conditionalFormatting sqref="B3:B25">
    <cfRule type="duplicateValues" dxfId="24" priority="13"/>
  </conditionalFormatting>
  <conditionalFormatting sqref="N3:O25 H3:H25">
    <cfRule type="colorScale" priority="5">
      <colorScale>
        <cfvo type="percent" val="0"/>
        <cfvo type="percentile" val="50"/>
        <cfvo type="percent" val="100"/>
        <color rgb="FF0B6914"/>
        <color rgb="FFFFEB84"/>
        <color rgb="FFC00000"/>
      </colorScale>
    </cfRule>
  </conditionalFormatting>
  <conditionalFormatting sqref="L5:L25">
    <cfRule type="cellIs" dxfId="23" priority="4" operator="notEqual">
      <formula>F5</formula>
    </cfRule>
  </conditionalFormatting>
  <conditionalFormatting sqref="M5:M25">
    <cfRule type="cellIs" dxfId="22" priority="3" operator="notEqual">
      <formula>G5</formula>
    </cfRule>
  </conditionalFormatting>
  <conditionalFormatting sqref="L3:L4">
    <cfRule type="cellIs" dxfId="21" priority="2" operator="notEqual">
      <formula>F3</formula>
    </cfRule>
  </conditionalFormatting>
  <conditionalFormatting sqref="M3:M4">
    <cfRule type="cellIs" dxfId="20" priority="1" operator="notEqual">
      <formula>G3</formula>
    </cfRule>
  </conditionalFormatting>
  <hyperlinks>
    <hyperlink ref="B2" location="'Guidance on usage'!A1" display="ID"/>
    <hyperlink ref="C2" location="'Guidance on usage'!A1" display="Risk description"/>
    <hyperlink ref="D2" location="'Guidance on usage'!A1" display="Risk owner"/>
    <hyperlink ref="E2" location="'Guidance on usage'!A1" display="Impact description"/>
    <hyperlink ref="F2" location="'Guidance on scoring'!A1" display="Prob"/>
    <hyperlink ref="G2" location="'Guidance on scoring'!A1" display="Impact"/>
    <hyperlink ref="H2" location="'Guidance on scoring'!A1" display="Priority"/>
    <hyperlink ref="I2" location="'Guidance on usage'!A1" display="Mitigation description"/>
    <hyperlink ref="J2" location="'Guidance on usage'!A1" display="M-Cost"/>
    <hyperlink ref="L2" location="'Guidance on scoring'!A1" display="Prob"/>
    <hyperlink ref="M2" location="'Guidance on scoring'!A1" display="Impact"/>
    <hyperlink ref="N2" location="'Guidance on scoring'!A1" display="Priority"/>
    <hyperlink ref="Q2" location="'Guidance on usage'!A1" display="Date last reviewed/updated"/>
    <hyperlink ref="K2" location="'Guidance on usage'!A1" display="M-Status"/>
  </hyperlink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 register</vt:lpstr>
    </vt:vector>
  </TitlesOfParts>
  <Company>XYZ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Hinson</dc:creator>
  <cp:lastModifiedBy>Bhanusha</cp:lastModifiedBy>
  <cp:lastPrinted>2012-09-01T01:15:43Z</cp:lastPrinted>
  <dcterms:created xsi:type="dcterms:W3CDTF">2001-03-01T12:12:37Z</dcterms:created>
  <dcterms:modified xsi:type="dcterms:W3CDTF">2022-09-29T05:45:10Z</dcterms:modified>
</cp:coreProperties>
</file>